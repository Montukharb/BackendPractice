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D2D9010E-9D56-430D-B4B8-45D73EEEB9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Sheet1!$A$1:$I$33</definedName>
    <definedName name="Slicer_Address">#N/A</definedName>
    <definedName name="Slicer_Class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" l="1"/>
  <c r="W8" i="1"/>
  <c r="X17" i="1" a="1"/>
  <c r="X17" i="1"/>
  <c r="AE27" i="1"/>
  <c r="AF27" i="1"/>
  <c r="AG27" i="1"/>
  <c r="AD27" i="1"/>
  <c r="Z8" i="1"/>
  <c r="Y8" i="1"/>
  <c r="X8" i="1"/>
  <c r="U18" i="1"/>
  <c r="T18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<sst xmlns="http://schemas.openxmlformats.org/spreadsheetml/2006/main" count="205" uniqueCount="121">
  <si>
    <t>Sr.NO</t>
  </si>
  <si>
    <t>Name</t>
  </si>
  <si>
    <t>Class</t>
  </si>
  <si>
    <t>Age</t>
  </si>
  <si>
    <t>Roll NO</t>
  </si>
  <si>
    <t>Attendence</t>
  </si>
  <si>
    <t>Address</t>
  </si>
  <si>
    <t>Total Marks</t>
  </si>
  <si>
    <t>Passing Marks</t>
  </si>
  <si>
    <t>Amit Sharma</t>
  </si>
  <si>
    <t>Delhi</t>
  </si>
  <si>
    <t>Look up's Family all types</t>
  </si>
  <si>
    <t>Rohit Verma</t>
  </si>
  <si>
    <t>Noida</t>
  </si>
  <si>
    <t>Suresh Kumar</t>
  </si>
  <si>
    <t>Gurgaon</t>
  </si>
  <si>
    <t>SLICERS</t>
  </si>
  <si>
    <t>H-LOOK UP with drop down</t>
  </si>
  <si>
    <t>Anjali Gupta</t>
  </si>
  <si>
    <t>Grade</t>
  </si>
  <si>
    <t>Neha Singh</t>
  </si>
  <si>
    <t>Faridabad</t>
  </si>
  <si>
    <t>B</t>
  </si>
  <si>
    <t>YEAR</t>
  </si>
  <si>
    <t>Amit</t>
  </si>
  <si>
    <t>Rohit</t>
  </si>
  <si>
    <t>Suresh</t>
  </si>
  <si>
    <t>Anjali</t>
  </si>
  <si>
    <t>Pooja</t>
  </si>
  <si>
    <t>Vikas</t>
  </si>
  <si>
    <t>Deepak</t>
  </si>
  <si>
    <t>Pooja Yadav</t>
  </si>
  <si>
    <t>Ghaziabad</t>
  </si>
  <si>
    <t>A</t>
  </si>
  <si>
    <t>Vikas Mehta</t>
  </si>
  <si>
    <t>select</t>
  </si>
  <si>
    <t>Deepak Jain</t>
  </si>
  <si>
    <t>Karan Malhotra</t>
  </si>
  <si>
    <t>Ravi Patel</t>
  </si>
  <si>
    <t>C</t>
  </si>
  <si>
    <t>Manish Arora</t>
  </si>
  <si>
    <t>Nitin Saxena</t>
  </si>
  <si>
    <t>X-LOOK UP with drop down</t>
  </si>
  <si>
    <t>Priya Kapoor</t>
  </si>
  <si>
    <t>V-LOOK UP</t>
  </si>
  <si>
    <t>V-LOOK UP with drop down</t>
  </si>
  <si>
    <t>Simran Kaur</t>
  </si>
  <si>
    <t>Rahul Khanna</t>
  </si>
  <si>
    <t>Employee Id</t>
  </si>
  <si>
    <t>Employee Name</t>
  </si>
  <si>
    <t>Designation</t>
  </si>
  <si>
    <t>Date of Join</t>
  </si>
  <si>
    <t>Salary</t>
  </si>
  <si>
    <t>65+5</t>
  </si>
  <si>
    <t>Ajay Mishra</t>
  </si>
  <si>
    <t xml:space="preserve">Total Marks </t>
  </si>
  <si>
    <t>SM00121</t>
  </si>
  <si>
    <t>65+</t>
  </si>
  <si>
    <t>Sunil Joshi</t>
  </si>
  <si>
    <t>Arjun Nair</t>
  </si>
  <si>
    <t>Sneha Reddy</t>
  </si>
  <si>
    <t>Meena Iyer</t>
  </si>
  <si>
    <t>Tarun Bansal</t>
  </si>
  <si>
    <t>Goutam Kumar</t>
  </si>
  <si>
    <t>Professor</t>
  </si>
  <si>
    <t>Varun Aggarwal</t>
  </si>
  <si>
    <t>SM00122</t>
  </si>
  <si>
    <t>Rohan Sharma</t>
  </si>
  <si>
    <t>Asst. Professor</t>
  </si>
  <si>
    <t>15-04-1992</t>
  </si>
  <si>
    <t>Index-Match Function with drop down</t>
  </si>
  <si>
    <t>Aakash Gupta</t>
  </si>
  <si>
    <t>SM00123</t>
  </si>
  <si>
    <t>Samir Sharma</t>
  </si>
  <si>
    <t>Asso. Professor</t>
  </si>
  <si>
    <t>19-04-1988</t>
  </si>
  <si>
    <t>Ritika Sharma</t>
  </si>
  <si>
    <t>SM00124</t>
  </si>
  <si>
    <t>Vinod Sankar</t>
  </si>
  <si>
    <t>25-05-1996</t>
  </si>
  <si>
    <t>Divya Jain</t>
  </si>
  <si>
    <t>SM00125</t>
  </si>
  <si>
    <t>Rupak Kapoor</t>
  </si>
  <si>
    <t>14-09-2010</t>
  </si>
  <si>
    <t>Kunal Shah</t>
  </si>
  <si>
    <t>SM00126</t>
  </si>
  <si>
    <t>Jiban Gupta</t>
  </si>
  <si>
    <t>Instructor</t>
  </si>
  <si>
    <t>Mohit Saini</t>
  </si>
  <si>
    <t>SM00127</t>
  </si>
  <si>
    <t>Anil Kumar</t>
  </si>
  <si>
    <t>Technician</t>
  </si>
  <si>
    <t>Naveen Yadav</t>
  </si>
  <si>
    <t>SM00128</t>
  </si>
  <si>
    <t>Sumit Prasad</t>
  </si>
  <si>
    <t>16-06-2000</t>
  </si>
  <si>
    <t>Sahil Arora</t>
  </si>
  <si>
    <t>SM00129</t>
  </si>
  <si>
    <t>Gopal Bhagat</t>
  </si>
  <si>
    <t>25-05-1999</t>
  </si>
  <si>
    <t>Pankaj Verma</t>
  </si>
  <si>
    <t>SM00130</t>
  </si>
  <si>
    <t>Vidya Gupta</t>
  </si>
  <si>
    <t>Head Clerk</t>
  </si>
  <si>
    <t>Ramesh Gupta</t>
  </si>
  <si>
    <t>SM00131</t>
  </si>
  <si>
    <t>Vijay Kumar</t>
  </si>
  <si>
    <t>Lokesh Kumar</t>
  </si>
  <si>
    <t>SM00132</t>
  </si>
  <si>
    <t>Arvind Kumar</t>
  </si>
  <si>
    <t>Accountant</t>
  </si>
  <si>
    <t>25-01-1985</t>
  </si>
  <si>
    <t>SM00133</t>
  </si>
  <si>
    <t>Ajay Jain</t>
  </si>
  <si>
    <t>Clerk</t>
  </si>
  <si>
    <t>31-12-1993</t>
  </si>
  <si>
    <t>SM00134</t>
  </si>
  <si>
    <t>Priya Sharma</t>
  </si>
  <si>
    <t>SM00135</t>
  </si>
  <si>
    <t>Amit Gupta</t>
  </si>
  <si>
    <t>15-03-1998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</si>
</sst>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50"/>
      <name val="Aptos Narrow"/>
      <scheme val="minor"/>
    </font>
    <font>
      <sz val="14"/>
      <color rgb="FF00B050"/>
      <name val="Aptos Narrow"/>
      <family val="2"/>
      <scheme val="minor"/>
    </font>
    <font>
      <b/>
      <sz val="16"/>
      <color rgb="FF7030A0"/>
      <name val="Aptos Narrow"/>
      <scheme val="minor"/>
    </font>
    <font>
      <b/>
      <sz val="14"/>
      <color rgb="FF7030A0"/>
      <name val="Aptos Narrow"/>
      <scheme val="minor"/>
    </font>
    <font>
      <sz val="14"/>
      <color rgb="FF7030A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CE3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" xfId="0" applyFont="1" applyFill="1" applyBorder="1"/>
    <xf numFmtId="0" fontId="0" fillId="0" borderId="1" xfId="0" applyFont="1" applyBorder="1"/>
    <xf numFmtId="0" fontId="4" fillId="4" borderId="1" xfId="0" applyFont="1" applyFill="1" applyBorder="1" applyAlignment="1">
      <alignment horizontal="center"/>
    </xf>
    <xf numFmtId="0" fontId="0" fillId="3" borderId="3" xfId="0" applyFont="1" applyFill="1" applyBorder="1"/>
    <xf numFmtId="0" fontId="0" fillId="0" borderId="3" xfId="0" applyFont="1" applyBorder="1"/>
    <xf numFmtId="0" fontId="4" fillId="4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8" borderId="5" xfId="0" applyFill="1" applyBorder="1" applyAlignment="1">
      <alignment horizontal="left" vertical="center"/>
    </xf>
    <xf numFmtId="14" fontId="0" fillId="8" borderId="5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14" fontId="0" fillId="8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43" fontId="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0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FFF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2.xml"/><Relationship Id="rId7" Type="http://schemas.openxmlformats.org/officeDocument/2006/relationships/sheetMetadata" Target="metadata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361950</xdr:colOff>
      <xdr:row>15</xdr:row>
      <xdr:rowOff>47625</xdr:rowOff>
    </xdr:from>
    <xdr:to>
      <xdr:col>12</xdr:col>
      <xdr:colOff>323850</xdr:colOff>
      <xdr:row>22</xdr:row>
      <xdr:rowOff>76200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Class">
              <a:extLst>
                <a:ext uri="{FF2B5EF4-FFF2-40B4-BE49-F238E27FC236}">
                  <a16:creationId xmlns:a16="http://schemas.microsoft.com/office/drawing/2014/main" id="{128D0CF1-38D3-CF9C-7AD7-E1202E2728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5675" y="3467100"/>
              <a:ext cx="179070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9</xdr:col>
      <xdr:colOff>361950</xdr:colOff>
      <xdr:row>5</xdr:row>
      <xdr:rowOff>142875</xdr:rowOff>
    </xdr:from>
    <xdr:to>
      <xdr:col>12</xdr:col>
      <xdr:colOff>295275</xdr:colOff>
      <xdr:row>13</xdr:row>
      <xdr:rowOff>114300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Address">
              <a:extLst>
                <a:ext uri="{FF2B5EF4-FFF2-40B4-BE49-F238E27FC236}">
                  <a16:creationId xmlns:a16="http://schemas.microsoft.com/office/drawing/2014/main" id="{0AB8DAD7-1AC9-7C7E-CF60-7E7772C7C15C}"/>
                </a:ext>
                <a:ext uri="{147F2762-F138-4A5C-976F-8EAC2B608ADB}">
                  <a16:predDERef xmlns:a16="http://schemas.microsoft.com/office/drawing/2014/main" pred="{128D0CF1-38D3-CF9C-7AD7-E1202E2728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dre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5675" y="1219200"/>
              <a:ext cx="1762125" cy="1838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ass" xr10:uid="{CC7F026D-1BDF-43F1-B59E-1340AABDD2B1}" sourceName="Class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ddress" xr10:uid="{6AD1C361-431B-411D-BFA1-91EFCEC2D6B4}" sourceName="Address">
  <extLst>
    <x:ext xmlns:x15="http://schemas.microsoft.com/office/spreadsheetml/2010/11/main" uri="{2F2917AC-EB37-4324-AD4E-5DD8C200BD13}">
      <x15:tableSlicerCache tableId="2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s" xr10:uid="{26C49FD2-1B93-4E70-B3A9-84E095642815}" cache="Slicer_Class" caption="Class" rowHeight="228600"/>
  <slicer name="Address" xr10:uid="{CB973D7C-31FC-491B-B36B-130FC50AA878}" cache="Slicer_Address" caption="Addres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82FAB-19A8-430A-9186-6DE0C7038069}" name="Table2" displayName="Table2" ref="A1:I33" totalsRowShown="0" headerRowDxfId="13" dataDxfId="12" headerRowBorderDxfId="10" tableBorderDxfId="11" totalsRowBorderDxfId="9">
  <autoFilter ref="A1:I33" xr:uid="{34382FAB-19A8-430A-9186-6DE0C7038069}"/>
  <tableColumns count="9">
    <tableColumn id="1" xr3:uid="{662789F8-3732-4DC8-8F9C-D264A599EF64}" name="Sr.NO" dataDxfId="8"/>
    <tableColumn id="2" xr3:uid="{09A9CF9F-152E-4109-BA47-CB5995439653}" name="Name" dataDxfId="7"/>
    <tableColumn id="3" xr3:uid="{CCD519CD-98E9-481A-B287-73E8524579FF}" name="Class" dataDxfId="6"/>
    <tableColumn id="4" xr3:uid="{9E14BB01-406C-4E9C-9C8A-500A44CBD2AE}" name="Age" dataDxfId="5"/>
    <tableColumn id="5" xr3:uid="{80F86CED-C7F9-41B1-B116-8539843AD1B1}" name="Roll NO" dataDxfId="4"/>
    <tableColumn id="6" xr3:uid="{D0C2A235-4C6C-4EE0-B952-74683F1BA1CF}" name="Attendence" dataDxfId="3"/>
    <tableColumn id="7" xr3:uid="{3343C974-510E-4BE5-8AF0-8BE0848C4D67}" name="Address" dataDxfId="2"/>
    <tableColumn id="8" xr3:uid="{AFAD2070-C887-4DBD-B455-9B4CB9496F9A}" name="Total Marks" dataDxfId="1"/>
    <tableColumn id="9" xr3:uid="{495CA2B6-614B-4301-AFFD-E89EE6003DB3}" name="Passing Mark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994DB9-90AC-4A6C-9738-7296F726E1A1}" name="Table4" displayName="Table4" ref="R8:R11" totalsRowShown="0">
  <autoFilter ref="R8:R11" xr:uid="{3B994DB9-90AC-4A6C-9738-7296F726E1A1}"/>
  <tableColumns count="1">
    <tableColumn id="1" xr3:uid="{50C90EF4-32C8-4EAA-8E4F-E4E908D7D0B0}" name="sel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"/>
  <sheetViews>
    <sheetView tabSelected="1" topLeftCell="H1" workbookViewId="0">
      <selection activeCell="R23" sqref="R23"/>
    </sheetView>
  </sheetViews>
  <sheetFormatPr defaultRowHeight="15"/>
  <cols>
    <col min="2" max="2" width="14" bestFit="1" customWidth="1"/>
    <col min="5" max="5" width="9.85546875" bestFit="1" customWidth="1"/>
    <col min="6" max="6" width="13.42578125" bestFit="1" customWidth="1"/>
    <col min="7" max="7" width="10.42578125" bestFit="1" customWidth="1"/>
    <col min="8" max="8" width="13.28515625" bestFit="1" customWidth="1"/>
    <col min="9" max="9" width="15.7109375" bestFit="1" customWidth="1"/>
    <col min="15" max="15" width="12.85546875" bestFit="1" customWidth="1"/>
    <col min="16" max="16" width="10.5703125" bestFit="1" customWidth="1"/>
    <col min="18" max="18" width="15.140625" customWidth="1"/>
    <col min="20" max="20" width="11" bestFit="1" customWidth="1"/>
    <col min="21" max="21" width="13" bestFit="1" customWidth="1"/>
    <col min="22" max="22" width="6.42578125" bestFit="1" customWidth="1"/>
    <col min="23" max="23" width="12.42578125" bestFit="1" customWidth="1"/>
    <col min="24" max="24" width="36.5703125" bestFit="1" customWidth="1"/>
    <col min="25" max="25" width="14.140625" bestFit="1" customWidth="1"/>
    <col min="26" max="26" width="11.7109375" bestFit="1" customWidth="1"/>
    <col min="27" max="27" width="10.42578125" bestFit="1" customWidth="1"/>
    <col min="28" max="28" width="6.7109375" bestFit="1" customWidth="1"/>
    <col min="29" max="29" width="12.42578125" bestFit="1" customWidth="1"/>
    <col min="30" max="30" width="16.28515625" bestFit="1" customWidth="1"/>
    <col min="31" max="31" width="12.140625" bestFit="1" customWidth="1"/>
    <col min="32" max="32" width="11.7109375" bestFit="1" customWidth="1"/>
    <col min="33" max="33" width="9.42578125" customWidth="1"/>
  </cols>
  <sheetData>
    <row r="1" spans="1:3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1"/>
      <c r="K1" s="1"/>
      <c r="L1" s="1"/>
      <c r="M1" s="1"/>
      <c r="N1" s="1"/>
    </row>
    <row r="2" spans="1:36" ht="21" customHeight="1">
      <c r="A2" s="3">
        <v>1</v>
      </c>
      <c r="B2" s="2" t="s">
        <v>9</v>
      </c>
      <c r="C2" s="38">
        <v>10</v>
      </c>
      <c r="D2" s="38">
        <v>15</v>
      </c>
      <c r="E2" s="38">
        <v>1</v>
      </c>
      <c r="F2" s="38">
        <v>85</v>
      </c>
      <c r="G2" s="2" t="s">
        <v>10</v>
      </c>
      <c r="H2" s="38">
        <v>420</v>
      </c>
      <c r="I2" s="4">
        <v>200</v>
      </c>
      <c r="R2" s="56" t="s">
        <v>11</v>
      </c>
      <c r="S2" s="56"/>
      <c r="T2" s="56"/>
      <c r="U2" s="56"/>
      <c r="V2" s="56"/>
      <c r="W2" s="56"/>
      <c r="X2" s="56"/>
      <c r="Y2" s="56"/>
    </row>
    <row r="3" spans="1:36">
      <c r="A3" s="3">
        <v>2</v>
      </c>
      <c r="B3" s="2" t="s">
        <v>12</v>
      </c>
      <c r="C3" s="38">
        <v>10</v>
      </c>
      <c r="D3" s="38">
        <v>16</v>
      </c>
      <c r="E3" s="38">
        <v>2</v>
      </c>
      <c r="F3" s="38">
        <v>90</v>
      </c>
      <c r="G3" s="2" t="s">
        <v>13</v>
      </c>
      <c r="H3" s="38">
        <v>380</v>
      </c>
      <c r="I3" s="4">
        <v>200</v>
      </c>
      <c r="R3" s="56"/>
      <c r="S3" s="56"/>
      <c r="T3" s="56"/>
      <c r="U3" s="56"/>
      <c r="V3" s="56"/>
      <c r="W3" s="56"/>
      <c r="X3" s="56"/>
      <c r="Y3" s="56"/>
    </row>
    <row r="4" spans="1:36" ht="18.75" customHeight="1">
      <c r="A4" s="3">
        <v>3</v>
      </c>
      <c r="B4" s="2" t="s">
        <v>14</v>
      </c>
      <c r="C4" s="38">
        <v>9</v>
      </c>
      <c r="D4" s="38">
        <v>14</v>
      </c>
      <c r="E4" s="38">
        <v>3</v>
      </c>
      <c r="F4" s="38">
        <v>75</v>
      </c>
      <c r="G4" s="2" t="s">
        <v>15</v>
      </c>
      <c r="H4" s="38">
        <v>300</v>
      </c>
      <c r="I4" s="4">
        <v>180</v>
      </c>
      <c r="J4" s="44" t="s">
        <v>16</v>
      </c>
      <c r="K4" s="44"/>
      <c r="L4" s="44"/>
      <c r="M4" s="44"/>
      <c r="V4" s="57" t="s">
        <v>17</v>
      </c>
      <c r="W4" s="58"/>
      <c r="X4" s="58"/>
      <c r="Y4" s="58"/>
      <c r="Z4" s="59"/>
    </row>
    <row r="5" spans="1:36">
      <c r="A5" s="3">
        <v>4</v>
      </c>
      <c r="B5" s="2" t="s">
        <v>18</v>
      </c>
      <c r="C5" s="38">
        <v>10</v>
      </c>
      <c r="D5" s="38">
        <v>15</v>
      </c>
      <c r="E5" s="38">
        <v>4</v>
      </c>
      <c r="F5" s="38">
        <v>88</v>
      </c>
      <c r="G5" s="2" t="s">
        <v>10</v>
      </c>
      <c r="H5" s="38">
        <v>450</v>
      </c>
      <c r="I5" s="4">
        <v>200</v>
      </c>
      <c r="J5" s="45"/>
      <c r="K5" s="45"/>
      <c r="L5" s="45"/>
      <c r="M5" s="45"/>
      <c r="O5" s="14" t="s">
        <v>1</v>
      </c>
      <c r="P5" s="14" t="s">
        <v>19</v>
      </c>
      <c r="V5" s="60"/>
      <c r="W5" s="61"/>
      <c r="X5" s="61"/>
      <c r="Y5" s="61"/>
      <c r="Z5" s="62"/>
    </row>
    <row r="6" spans="1:36" ht="15.75">
      <c r="A6" s="3">
        <v>5</v>
      </c>
      <c r="B6" s="2" t="s">
        <v>20</v>
      </c>
      <c r="C6" s="38">
        <v>9</v>
      </c>
      <c r="D6" s="38">
        <v>14</v>
      </c>
      <c r="E6" s="38">
        <v>5</v>
      </c>
      <c r="F6" s="38">
        <v>92</v>
      </c>
      <c r="G6" s="2" t="s">
        <v>21</v>
      </c>
      <c r="H6" s="38">
        <v>410</v>
      </c>
      <c r="I6" s="4">
        <v>180</v>
      </c>
      <c r="J6" s="46"/>
      <c r="K6" s="46"/>
      <c r="L6" s="46"/>
      <c r="M6" s="46"/>
      <c r="O6" s="12" t="s">
        <v>9</v>
      </c>
      <c r="P6" s="38" t="s">
        <v>22</v>
      </c>
      <c r="V6" s="63"/>
      <c r="W6" s="63"/>
      <c r="X6" s="63"/>
      <c r="Y6" s="63"/>
      <c r="Z6" s="63"/>
      <c r="AC6" s="23" t="s">
        <v>23</v>
      </c>
      <c r="AD6" s="24" t="s">
        <v>24</v>
      </c>
      <c r="AE6" s="24" t="s">
        <v>25</v>
      </c>
      <c r="AF6" s="24" t="s">
        <v>26</v>
      </c>
      <c r="AG6" s="24" t="s">
        <v>27</v>
      </c>
      <c r="AH6" s="24" t="s">
        <v>28</v>
      </c>
      <c r="AI6" s="24" t="s">
        <v>29</v>
      </c>
      <c r="AJ6" s="25" t="s">
        <v>30</v>
      </c>
    </row>
    <row r="7" spans="1:36" ht="18.75">
      <c r="A7" s="3">
        <v>6</v>
      </c>
      <c r="B7" s="2" t="s">
        <v>31</v>
      </c>
      <c r="C7" s="38">
        <v>10</v>
      </c>
      <c r="D7" s="38">
        <v>16</v>
      </c>
      <c r="E7" s="38">
        <v>6</v>
      </c>
      <c r="F7" s="38">
        <v>80</v>
      </c>
      <c r="G7" s="2" t="s">
        <v>32</v>
      </c>
      <c r="H7" s="38">
        <v>370</v>
      </c>
      <c r="I7" s="4">
        <v>200</v>
      </c>
      <c r="J7" s="46"/>
      <c r="K7" s="46"/>
      <c r="L7" s="46"/>
      <c r="M7" s="46"/>
      <c r="O7" s="13" t="s">
        <v>12</v>
      </c>
      <c r="P7" s="38" t="s">
        <v>33</v>
      </c>
      <c r="V7" s="22" t="s">
        <v>1</v>
      </c>
      <c r="W7" s="22">
        <v>2014</v>
      </c>
      <c r="X7" s="31">
        <v>2020</v>
      </c>
      <c r="Y7" s="31">
        <v>2023</v>
      </c>
      <c r="Z7" s="31">
        <v>2026</v>
      </c>
      <c r="AA7" s="18"/>
      <c r="AC7" s="26">
        <v>2014</v>
      </c>
      <c r="AD7" s="20">
        <v>562556</v>
      </c>
      <c r="AE7" s="20">
        <v>562557</v>
      </c>
      <c r="AF7" s="20">
        <v>562558</v>
      </c>
      <c r="AG7" s="20">
        <v>562559</v>
      </c>
      <c r="AH7" s="20">
        <v>562560</v>
      </c>
      <c r="AI7" s="20">
        <v>562561</v>
      </c>
      <c r="AJ7" s="27">
        <v>562562</v>
      </c>
    </row>
    <row r="8" spans="1:36" ht="18.75">
      <c r="A8" s="3">
        <v>7</v>
      </c>
      <c r="B8" s="2" t="s">
        <v>34</v>
      </c>
      <c r="C8" s="38">
        <v>11</v>
      </c>
      <c r="D8" s="38">
        <v>17</v>
      </c>
      <c r="E8" s="38">
        <v>7</v>
      </c>
      <c r="F8" s="38">
        <v>95</v>
      </c>
      <c r="G8" s="2" t="s">
        <v>10</v>
      </c>
      <c r="H8" s="38">
        <v>480</v>
      </c>
      <c r="I8" s="4">
        <v>220</v>
      </c>
      <c r="J8" s="46"/>
      <c r="K8" s="46"/>
      <c r="L8" s="46"/>
      <c r="M8" s="46"/>
      <c r="O8" s="12" t="s">
        <v>14</v>
      </c>
      <c r="P8" s="38" t="s">
        <v>22</v>
      </c>
      <c r="R8" t="s">
        <v>35</v>
      </c>
      <c r="V8" s="21" t="s">
        <v>24</v>
      </c>
      <c r="W8" s="32">
        <f>HLOOKUP(V8,AC6:AJ19,2,0)</f>
        <v>562556</v>
      </c>
      <c r="X8" s="32">
        <f>HLOOKUP(V8,AC6:AJ19,8,0)</f>
        <v>2154914</v>
      </c>
      <c r="Y8" s="32">
        <f>HLOOKUP(V8,AC6:AJ19,11,0)</f>
        <v>2484</v>
      </c>
      <c r="Z8" s="32">
        <f>HLOOKUP(V8,AC6:AJ19,14,0)</f>
        <v>4578</v>
      </c>
      <c r="AC8" s="26">
        <v>2015</v>
      </c>
      <c r="AD8" s="20">
        <v>54169</v>
      </c>
      <c r="AE8" s="20">
        <v>644</v>
      </c>
      <c r="AF8" s="20">
        <v>46</v>
      </c>
      <c r="AG8" s="20">
        <v>4</v>
      </c>
      <c r="AH8" s="20">
        <v>56</v>
      </c>
      <c r="AI8" s="20">
        <v>65</v>
      </c>
      <c r="AJ8" s="27">
        <v>64</v>
      </c>
    </row>
    <row r="9" spans="1:36" ht="18.75">
      <c r="A9" s="3">
        <v>8</v>
      </c>
      <c r="B9" s="2" t="s">
        <v>36</v>
      </c>
      <c r="C9" s="38">
        <v>9</v>
      </c>
      <c r="D9" s="38">
        <v>14</v>
      </c>
      <c r="E9" s="38">
        <v>8</v>
      </c>
      <c r="F9" s="38">
        <v>70</v>
      </c>
      <c r="G9" s="2" t="s">
        <v>13</v>
      </c>
      <c r="H9" s="38">
        <v>290</v>
      </c>
      <c r="I9" s="4">
        <v>180</v>
      </c>
      <c r="J9" s="46"/>
      <c r="K9" s="46"/>
      <c r="L9" s="46"/>
      <c r="M9" s="46"/>
      <c r="O9" s="13" t="s">
        <v>18</v>
      </c>
      <c r="P9" s="38" t="s">
        <v>33</v>
      </c>
      <c r="R9" t="s">
        <v>33</v>
      </c>
      <c r="AC9" s="26">
        <v>2016</v>
      </c>
      <c r="AD9" s="20">
        <v>21684</v>
      </c>
      <c r="AE9" s="20">
        <v>54646</v>
      </c>
      <c r="AF9" s="20">
        <v>6</v>
      </c>
      <c r="AG9" s="20">
        <v>46</v>
      </c>
      <c r="AH9" s="20">
        <v>464</v>
      </c>
      <c r="AI9" s="20">
        <v>64</v>
      </c>
      <c r="AJ9" s="27">
        <v>646</v>
      </c>
    </row>
    <row r="10" spans="1:36" ht="18.75">
      <c r="A10" s="3">
        <v>9</v>
      </c>
      <c r="B10" s="2" t="s">
        <v>37</v>
      </c>
      <c r="C10" s="38">
        <v>12</v>
      </c>
      <c r="D10" s="38">
        <v>18</v>
      </c>
      <c r="E10" s="38">
        <v>9</v>
      </c>
      <c r="F10" s="38">
        <v>85</v>
      </c>
      <c r="G10" s="2" t="s">
        <v>15</v>
      </c>
      <c r="H10" s="38">
        <v>500</v>
      </c>
      <c r="I10" s="4">
        <v>250</v>
      </c>
      <c r="J10" s="46"/>
      <c r="K10" s="46"/>
      <c r="L10" s="46"/>
      <c r="M10" s="46"/>
      <c r="O10" s="12" t="s">
        <v>20</v>
      </c>
      <c r="P10" s="38" t="s">
        <v>22</v>
      </c>
      <c r="R10" t="s">
        <v>22</v>
      </c>
      <c r="AC10" s="26">
        <v>2017</v>
      </c>
      <c r="AD10" s="20">
        <v>21954</v>
      </c>
      <c r="AE10" s="20">
        <v>654</v>
      </c>
      <c r="AF10" s="20">
        <v>6454</v>
      </c>
      <c r="AG10" s="20">
        <v>2125</v>
      </c>
      <c r="AH10" s="20">
        <v>32545</v>
      </c>
      <c r="AI10" s="20">
        <v>216</v>
      </c>
      <c r="AJ10" s="27">
        <v>4566</v>
      </c>
    </row>
    <row r="11" spans="1:36" ht="18.75">
      <c r="A11" s="3">
        <v>10</v>
      </c>
      <c r="B11" s="2" t="s">
        <v>38</v>
      </c>
      <c r="C11" s="38">
        <v>10</v>
      </c>
      <c r="D11" s="38">
        <v>15</v>
      </c>
      <c r="E11" s="38">
        <v>10</v>
      </c>
      <c r="F11" s="38">
        <v>78</v>
      </c>
      <c r="G11" s="2" t="s">
        <v>21</v>
      </c>
      <c r="H11" s="38">
        <v>360</v>
      </c>
      <c r="I11" s="4">
        <v>200</v>
      </c>
      <c r="J11" s="46"/>
      <c r="K11" s="46"/>
      <c r="L11" s="46"/>
      <c r="M11" s="46"/>
      <c r="O11" s="13" t="s">
        <v>31</v>
      </c>
      <c r="P11" s="38" t="s">
        <v>33</v>
      </c>
      <c r="R11" t="s">
        <v>39</v>
      </c>
      <c r="AC11" s="26">
        <v>2018</v>
      </c>
      <c r="AD11" s="20">
        <v>251984</v>
      </c>
      <c r="AE11" s="20">
        <v>6464</v>
      </c>
      <c r="AF11" s="20">
        <v>5468</v>
      </c>
      <c r="AG11" s="20">
        <v>21312</v>
      </c>
      <c r="AH11" s="20">
        <v>15465</v>
      </c>
      <c r="AI11" s="20">
        <v>1654</v>
      </c>
      <c r="AJ11" s="27">
        <v>2161</v>
      </c>
    </row>
    <row r="12" spans="1:36" ht="18.75">
      <c r="A12" s="3">
        <v>11</v>
      </c>
      <c r="B12" s="2" t="s">
        <v>40</v>
      </c>
      <c r="C12" s="38">
        <v>11</v>
      </c>
      <c r="D12" s="38">
        <v>17</v>
      </c>
      <c r="E12" s="38">
        <v>11</v>
      </c>
      <c r="F12" s="38">
        <v>82</v>
      </c>
      <c r="G12" s="2" t="s">
        <v>10</v>
      </c>
      <c r="H12" s="38">
        <v>410</v>
      </c>
      <c r="I12" s="4">
        <v>220</v>
      </c>
      <c r="J12" s="46"/>
      <c r="K12" s="46"/>
      <c r="L12" s="46"/>
      <c r="M12" s="46"/>
      <c r="AC12" s="26">
        <v>2019</v>
      </c>
      <c r="AD12" s="20">
        <v>65494</v>
      </c>
      <c r="AE12" s="20">
        <v>26</v>
      </c>
      <c r="AF12" s="20">
        <v>3</v>
      </c>
      <c r="AG12" s="20">
        <v>15</v>
      </c>
      <c r="AH12" s="20">
        <v>30</v>
      </c>
      <c r="AI12" s="20">
        <v>31651</v>
      </c>
      <c r="AJ12" s="27">
        <v>16165</v>
      </c>
    </row>
    <row r="13" spans="1:36" ht="18.75">
      <c r="A13" s="3">
        <v>12</v>
      </c>
      <c r="B13" s="2" t="s">
        <v>41</v>
      </c>
      <c r="C13" s="38">
        <v>10</v>
      </c>
      <c r="D13" s="38">
        <v>16</v>
      </c>
      <c r="E13" s="38">
        <v>12</v>
      </c>
      <c r="F13" s="38">
        <v>88</v>
      </c>
      <c r="G13" s="2" t="s">
        <v>13</v>
      </c>
      <c r="H13" s="38">
        <v>430</v>
      </c>
      <c r="I13" s="4">
        <v>200</v>
      </c>
      <c r="J13" s="46"/>
      <c r="K13" s="46"/>
      <c r="L13" s="46"/>
      <c r="M13" s="46"/>
      <c r="W13" s="64" t="s">
        <v>42</v>
      </c>
      <c r="X13" s="65"/>
      <c r="Y13" s="65"/>
      <c r="Z13" s="65"/>
      <c r="AA13" s="65"/>
      <c r="AC13" s="26">
        <v>2020</v>
      </c>
      <c r="AD13" s="20">
        <v>2154914</v>
      </c>
      <c r="AE13" s="20">
        <v>4564</v>
      </c>
      <c r="AF13" s="20">
        <v>2456</v>
      </c>
      <c r="AG13" s="20">
        <v>16</v>
      </c>
      <c r="AH13" s="20">
        <v>6</v>
      </c>
      <c r="AI13" s="20">
        <v>6</v>
      </c>
      <c r="AJ13" s="27">
        <v>1654</v>
      </c>
    </row>
    <row r="14" spans="1:36" ht="18.75">
      <c r="A14" s="3">
        <v>13</v>
      </c>
      <c r="B14" s="2" t="s">
        <v>43</v>
      </c>
      <c r="C14" s="38">
        <v>12</v>
      </c>
      <c r="D14" s="38">
        <v>18</v>
      </c>
      <c r="E14" s="38">
        <v>13</v>
      </c>
      <c r="F14" s="38">
        <v>91</v>
      </c>
      <c r="G14" s="2" t="s">
        <v>15</v>
      </c>
      <c r="H14" s="38">
        <v>520</v>
      </c>
      <c r="I14" s="4">
        <v>250</v>
      </c>
      <c r="J14" s="46"/>
      <c r="K14" s="46"/>
      <c r="L14" s="46"/>
      <c r="M14" s="46"/>
      <c r="O14" s="47" t="s">
        <v>44</v>
      </c>
      <c r="P14" s="47"/>
      <c r="R14" s="66" t="s">
        <v>45</v>
      </c>
      <c r="S14" s="66"/>
      <c r="T14" s="66"/>
      <c r="U14" s="66"/>
      <c r="W14" s="65"/>
      <c r="X14" s="65"/>
      <c r="Y14" s="65"/>
      <c r="Z14" s="65"/>
      <c r="AA14" s="65"/>
      <c r="AC14" s="26">
        <v>2021</v>
      </c>
      <c r="AD14" s="20">
        <v>1884</v>
      </c>
      <c r="AE14" s="20">
        <v>564</v>
      </c>
      <c r="AF14" s="20">
        <v>64</v>
      </c>
      <c r="AG14" s="20">
        <v>3</v>
      </c>
      <c r="AH14" s="20">
        <v>546</v>
      </c>
      <c r="AI14" s="20">
        <v>346</v>
      </c>
      <c r="AJ14" s="27">
        <v>654</v>
      </c>
    </row>
    <row r="15" spans="1:36" ht="18.75">
      <c r="A15" s="3">
        <v>14</v>
      </c>
      <c r="B15" s="2" t="s">
        <v>46</v>
      </c>
      <c r="C15" s="38">
        <v>11</v>
      </c>
      <c r="D15" s="38">
        <v>17</v>
      </c>
      <c r="E15" s="38">
        <v>14</v>
      </c>
      <c r="F15" s="38">
        <v>84</v>
      </c>
      <c r="G15" s="2" t="s">
        <v>10</v>
      </c>
      <c r="H15" s="38">
        <v>460</v>
      </c>
      <c r="I15" s="4">
        <v>220</v>
      </c>
      <c r="J15" s="46"/>
      <c r="K15" s="46"/>
      <c r="L15" s="46"/>
      <c r="M15" s="46"/>
      <c r="O15" s="47"/>
      <c r="P15" s="47"/>
      <c r="R15" s="66"/>
      <c r="S15" s="66"/>
      <c r="T15" s="66"/>
      <c r="U15" s="66"/>
      <c r="W15" s="67"/>
      <c r="X15" s="67"/>
      <c r="Y15" s="67"/>
      <c r="Z15" s="67"/>
      <c r="AA15" s="67"/>
      <c r="AC15" s="26">
        <v>2022</v>
      </c>
      <c r="AD15" s="20">
        <v>14522</v>
      </c>
      <c r="AE15" s="20">
        <v>65</v>
      </c>
      <c r="AF15" s="20">
        <v>24694</v>
      </c>
      <c r="AG15" s="20">
        <v>6</v>
      </c>
      <c r="AH15" s="20">
        <v>5454</v>
      </c>
      <c r="AI15" s="20">
        <v>215</v>
      </c>
      <c r="AJ15" s="27">
        <v>2456</v>
      </c>
    </row>
    <row r="16" spans="1:36" ht="18.75">
      <c r="A16" s="3">
        <v>15</v>
      </c>
      <c r="B16" s="2" t="s">
        <v>47</v>
      </c>
      <c r="C16" s="38">
        <v>12</v>
      </c>
      <c r="D16" s="38">
        <v>18</v>
      </c>
      <c r="E16" s="38">
        <v>15</v>
      </c>
      <c r="F16" s="38">
        <v>93</v>
      </c>
      <c r="G16" s="2" t="s">
        <v>21</v>
      </c>
      <c r="H16" s="38">
        <v>540</v>
      </c>
      <c r="I16" s="4">
        <v>250</v>
      </c>
      <c r="J16" s="46"/>
      <c r="K16" s="46"/>
      <c r="L16" s="46"/>
      <c r="M16" s="46"/>
      <c r="O16" s="17" t="s">
        <v>1</v>
      </c>
      <c r="P16" s="19" t="s">
        <v>7</v>
      </c>
      <c r="R16" s="53"/>
      <c r="S16" s="54"/>
      <c r="T16" s="54"/>
      <c r="U16" s="55"/>
      <c r="W16" s="31" t="s">
        <v>48</v>
      </c>
      <c r="X16" s="31" t="s">
        <v>49</v>
      </c>
      <c r="Y16" s="31" t="s">
        <v>50</v>
      </c>
      <c r="Z16" s="31" t="s">
        <v>51</v>
      </c>
      <c r="AA16" s="31" t="s">
        <v>52</v>
      </c>
      <c r="AC16" s="26">
        <v>2023</v>
      </c>
      <c r="AD16" s="20">
        <v>2484</v>
      </c>
      <c r="AE16" s="20">
        <v>656</v>
      </c>
      <c r="AF16" s="20">
        <v>66</v>
      </c>
      <c r="AG16" s="20">
        <v>654</v>
      </c>
      <c r="AH16" s="20">
        <v>3465</v>
      </c>
      <c r="AI16" s="20">
        <v>13</v>
      </c>
      <c r="AJ16" s="27" t="s">
        <v>53</v>
      </c>
    </row>
    <row r="17" spans="1:36" ht="18.75">
      <c r="A17" s="3">
        <v>16</v>
      </c>
      <c r="B17" s="2" t="s">
        <v>54</v>
      </c>
      <c r="C17" s="38">
        <v>9</v>
      </c>
      <c r="D17" s="38">
        <v>14</v>
      </c>
      <c r="E17" s="38">
        <v>16</v>
      </c>
      <c r="F17" s="38">
        <v>76</v>
      </c>
      <c r="G17" s="2" t="s">
        <v>32</v>
      </c>
      <c r="H17" s="38">
        <v>310</v>
      </c>
      <c r="I17" s="4">
        <v>180</v>
      </c>
      <c r="J17" s="46"/>
      <c r="K17" s="46"/>
      <c r="L17" s="46"/>
      <c r="M17" s="46"/>
      <c r="O17" s="15" t="s">
        <v>9</v>
      </c>
      <c r="P17" s="37">
        <f>VLOOKUP(O17,Table2[[#All],[Name]:[Passing Marks]],7,0)</f>
        <v>420</v>
      </c>
      <c r="R17" s="14" t="s">
        <v>1</v>
      </c>
      <c r="S17" s="14" t="s">
        <v>3</v>
      </c>
      <c r="T17" s="14" t="s">
        <v>55</v>
      </c>
      <c r="U17" s="14" t="s">
        <v>8</v>
      </c>
      <c r="W17" s="39" t="s">
        <v>56</v>
      </c>
      <c r="X17" s="32" t="str" cm="1">
        <f t="array" ref="X17:AA17">_xlfn.XLOOKUP(W17,W22:W36,X22:AA36,"not found",0)</f>
        <v>Goutam Kumar</v>
      </c>
      <c r="Y17" s="32" t="str">
        <v>Professor</v>
      </c>
      <c r="Z17" s="32">
        <v>35347</v>
      </c>
      <c r="AA17" s="42">
        <v>94000</v>
      </c>
      <c r="AC17" s="26">
        <v>2024</v>
      </c>
      <c r="AD17" s="20">
        <v>6549</v>
      </c>
      <c r="AE17" s="20" t="s">
        <v>57</v>
      </c>
      <c r="AF17" s="20">
        <v>656</v>
      </c>
      <c r="AG17" s="20">
        <v>656</v>
      </c>
      <c r="AH17" s="20">
        <v>6561</v>
      </c>
      <c r="AI17" s="20">
        <v>565</v>
      </c>
      <c r="AJ17" s="27">
        <v>6654</v>
      </c>
    </row>
    <row r="18" spans="1:36" ht="18.75">
      <c r="A18" s="3">
        <v>17</v>
      </c>
      <c r="B18" s="2" t="s">
        <v>58</v>
      </c>
      <c r="C18" s="38">
        <v>11</v>
      </c>
      <c r="D18" s="38">
        <v>17</v>
      </c>
      <c r="E18" s="38">
        <v>17</v>
      </c>
      <c r="F18" s="38">
        <v>89</v>
      </c>
      <c r="G18" s="2" t="s">
        <v>10</v>
      </c>
      <c r="H18" s="38">
        <v>420</v>
      </c>
      <c r="I18" s="4">
        <v>220</v>
      </c>
      <c r="J18" s="46"/>
      <c r="K18" s="46"/>
      <c r="L18" s="46"/>
      <c r="M18" s="46"/>
      <c r="O18" s="16" t="s">
        <v>12</v>
      </c>
      <c r="P18" s="37">
        <f>VLOOKUP(O18,Table2[[#All],[Name]:[Passing Marks]],7,0)</f>
        <v>380</v>
      </c>
      <c r="R18" s="51" t="s">
        <v>59</v>
      </c>
      <c r="S18" s="52">
        <f>VLOOKUP(R18,Table2[[#All],[Name]:[Passing Marks]],3,0)</f>
        <v>18</v>
      </c>
      <c r="T18" s="52">
        <f>VLOOKUP(R18,Table2[[#All],[Name]:[Passing Marks]],7,0)</f>
        <v>510</v>
      </c>
      <c r="U18" s="52">
        <f>VLOOKUP(R18,Table2[[#All],[Name]:[Passing Marks]],8,0)</f>
        <v>250</v>
      </c>
      <c r="AC18" s="26">
        <v>2025</v>
      </c>
      <c r="AD18" s="20">
        <v>21598</v>
      </c>
      <c r="AE18" s="20" t="s">
        <v>57</v>
      </c>
      <c r="AF18" s="20">
        <v>3456</v>
      </c>
      <c r="AG18" s="20">
        <v>6564</v>
      </c>
      <c r="AH18" s="20">
        <v>32</v>
      </c>
      <c r="AI18" s="20">
        <v>654</v>
      </c>
      <c r="AJ18" s="27">
        <v>5465</v>
      </c>
    </row>
    <row r="19" spans="1:36" ht="18.75">
      <c r="A19" s="3">
        <v>18</v>
      </c>
      <c r="B19" s="2" t="s">
        <v>59</v>
      </c>
      <c r="C19" s="38">
        <v>12</v>
      </c>
      <c r="D19" s="38">
        <v>18</v>
      </c>
      <c r="E19" s="38">
        <v>18</v>
      </c>
      <c r="F19" s="38">
        <v>94</v>
      </c>
      <c r="G19" s="2" t="s">
        <v>13</v>
      </c>
      <c r="H19" s="38">
        <v>510</v>
      </c>
      <c r="I19" s="4">
        <v>250</v>
      </c>
      <c r="J19" s="46"/>
      <c r="K19" s="46"/>
      <c r="L19" s="46"/>
      <c r="M19" s="46"/>
      <c r="O19" s="15" t="s">
        <v>14</v>
      </c>
      <c r="P19" s="37">
        <f>VLOOKUP(O19,Table2[[#All],[Name]:[Passing Marks]],7,0)</f>
        <v>300</v>
      </c>
      <c r="R19" s="51"/>
      <c r="S19" s="52"/>
      <c r="T19" s="52"/>
      <c r="U19" s="52"/>
      <c r="AC19" s="28">
        <v>2026</v>
      </c>
      <c r="AD19" s="29">
        <v>4578</v>
      </c>
      <c r="AE19" s="29">
        <v>566</v>
      </c>
      <c r="AF19" s="29">
        <v>654</v>
      </c>
      <c r="AG19" s="29">
        <v>5</v>
      </c>
      <c r="AH19" s="29">
        <v>5657</v>
      </c>
      <c r="AI19" s="29">
        <v>549</v>
      </c>
      <c r="AJ19" s="30">
        <v>35748</v>
      </c>
    </row>
    <row r="20" spans="1:36">
      <c r="A20" s="3">
        <v>19</v>
      </c>
      <c r="B20" s="2" t="s">
        <v>60</v>
      </c>
      <c r="C20" s="38">
        <v>10</v>
      </c>
      <c r="D20" s="38">
        <v>15</v>
      </c>
      <c r="E20" s="38">
        <v>19</v>
      </c>
      <c r="F20" s="38">
        <v>87</v>
      </c>
      <c r="G20" s="2" t="s">
        <v>15</v>
      </c>
      <c r="H20" s="38">
        <v>400</v>
      </c>
      <c r="I20" s="4">
        <v>200</v>
      </c>
      <c r="J20" s="46"/>
      <c r="K20" s="46"/>
      <c r="L20" s="46"/>
      <c r="M20" s="46"/>
      <c r="O20" s="16" t="s">
        <v>18</v>
      </c>
      <c r="P20" s="37">
        <f>VLOOKUP(O20,Table2[[#All],[Name]:[Passing Marks]],7,0)</f>
        <v>450</v>
      </c>
    </row>
    <row r="21" spans="1:36" ht="15.75">
      <c r="A21" s="3">
        <v>20</v>
      </c>
      <c r="B21" s="2" t="s">
        <v>61</v>
      </c>
      <c r="C21" s="38">
        <v>9</v>
      </c>
      <c r="D21" s="38">
        <v>14</v>
      </c>
      <c r="E21" s="38">
        <v>20</v>
      </c>
      <c r="F21" s="38">
        <v>79</v>
      </c>
      <c r="G21" s="2" t="s">
        <v>21</v>
      </c>
      <c r="H21" s="38">
        <v>320</v>
      </c>
      <c r="I21" s="4">
        <v>180</v>
      </c>
      <c r="J21" s="46"/>
      <c r="K21" s="46"/>
      <c r="L21" s="46"/>
      <c r="M21" s="46"/>
      <c r="O21" s="15" t="s">
        <v>20</v>
      </c>
      <c r="P21" s="37">
        <f>VLOOKUP(O21,Table2[[#All],[Name]:[Passing Marks]],7,0)</f>
        <v>410</v>
      </c>
      <c r="W21" s="31" t="s">
        <v>48</v>
      </c>
      <c r="X21" s="31" t="s">
        <v>49</v>
      </c>
      <c r="Y21" s="31" t="s">
        <v>50</v>
      </c>
      <c r="Z21" s="31" t="s">
        <v>51</v>
      </c>
      <c r="AA21" s="31" t="s">
        <v>52</v>
      </c>
    </row>
    <row r="22" spans="1:36">
      <c r="A22" s="3">
        <v>21</v>
      </c>
      <c r="B22" s="2" t="s">
        <v>62</v>
      </c>
      <c r="C22" s="38">
        <v>12</v>
      </c>
      <c r="D22" s="38">
        <v>18</v>
      </c>
      <c r="E22" s="38">
        <v>21</v>
      </c>
      <c r="F22" s="38">
        <v>90</v>
      </c>
      <c r="G22" s="2" t="s">
        <v>10</v>
      </c>
      <c r="H22" s="38">
        <v>530</v>
      </c>
      <c r="I22" s="4">
        <v>250</v>
      </c>
      <c r="J22" s="46"/>
      <c r="K22" s="46"/>
      <c r="L22" s="46"/>
      <c r="M22" s="46"/>
      <c r="O22" s="16" t="s">
        <v>31</v>
      </c>
      <c r="P22" s="37">
        <f>VLOOKUP(O22,Table2[[#All],[Name]:[Passing Marks]],7,0)</f>
        <v>370</v>
      </c>
      <c r="W22" s="33" t="s">
        <v>56</v>
      </c>
      <c r="X22" s="33" t="s">
        <v>63</v>
      </c>
      <c r="Y22" s="33" t="s">
        <v>64</v>
      </c>
      <c r="Z22" s="34">
        <v>35347</v>
      </c>
      <c r="AA22" s="33">
        <v>94000</v>
      </c>
    </row>
    <row r="23" spans="1:36" ht="15" customHeight="1">
      <c r="A23" s="3">
        <v>22</v>
      </c>
      <c r="B23" s="2" t="s">
        <v>65</v>
      </c>
      <c r="C23" s="38">
        <v>11</v>
      </c>
      <c r="D23" s="38">
        <v>17</v>
      </c>
      <c r="E23" s="38">
        <v>22</v>
      </c>
      <c r="F23" s="38">
        <v>86</v>
      </c>
      <c r="G23" s="2" t="s">
        <v>13</v>
      </c>
      <c r="H23" s="38">
        <v>470</v>
      </c>
      <c r="I23" s="4">
        <v>220</v>
      </c>
      <c r="J23" s="46"/>
      <c r="K23" s="46"/>
      <c r="L23" s="46"/>
      <c r="M23" s="46"/>
      <c r="O23" s="15" t="s">
        <v>34</v>
      </c>
      <c r="P23" s="37">
        <f>VLOOKUP(O23,Table2[[#All],[Name]:[Passing Marks]],7,0)</f>
        <v>480</v>
      </c>
      <c r="W23" s="35" t="s">
        <v>66</v>
      </c>
      <c r="X23" s="35" t="s">
        <v>67</v>
      </c>
      <c r="Y23" s="35" t="s">
        <v>68</v>
      </c>
      <c r="Z23" s="35" t="s">
        <v>69</v>
      </c>
      <c r="AA23" s="35">
        <v>64500</v>
      </c>
      <c r="AC23" s="48" t="s">
        <v>70</v>
      </c>
      <c r="AD23" s="49"/>
      <c r="AE23" s="49"/>
      <c r="AF23" s="49"/>
      <c r="AG23" s="49"/>
    </row>
    <row r="24" spans="1:36" ht="15" customHeight="1">
      <c r="A24" s="3">
        <v>23</v>
      </c>
      <c r="B24" s="2" t="s">
        <v>71</v>
      </c>
      <c r="C24" s="38">
        <v>10</v>
      </c>
      <c r="D24" s="38">
        <v>15</v>
      </c>
      <c r="E24" s="38">
        <v>23</v>
      </c>
      <c r="F24" s="38">
        <v>77</v>
      </c>
      <c r="G24" s="2" t="s">
        <v>15</v>
      </c>
      <c r="H24" s="38">
        <v>350</v>
      </c>
      <c r="I24" s="4">
        <v>200</v>
      </c>
      <c r="J24" s="46"/>
      <c r="K24" s="46"/>
      <c r="L24" s="46"/>
      <c r="M24" s="46"/>
      <c r="O24" s="16" t="s">
        <v>36</v>
      </c>
      <c r="P24" s="37">
        <f>VLOOKUP(O24,Table2[[#All],[Name]:[Passing Marks]],7,0)</f>
        <v>290</v>
      </c>
      <c r="W24" s="35" t="s">
        <v>72</v>
      </c>
      <c r="X24" s="35" t="s">
        <v>73</v>
      </c>
      <c r="Y24" s="35" t="s">
        <v>74</v>
      </c>
      <c r="Z24" s="35" t="s">
        <v>75</v>
      </c>
      <c r="AA24" s="35">
        <v>89400</v>
      </c>
      <c r="AC24" s="49"/>
      <c r="AD24" s="49"/>
      <c r="AE24" s="49"/>
      <c r="AF24" s="49"/>
      <c r="AG24" s="49"/>
    </row>
    <row r="25" spans="1:36">
      <c r="A25" s="3">
        <v>24</v>
      </c>
      <c r="B25" s="2" t="s">
        <v>76</v>
      </c>
      <c r="C25" s="38">
        <v>11</v>
      </c>
      <c r="D25" s="38">
        <v>17</v>
      </c>
      <c r="E25" s="38">
        <v>24</v>
      </c>
      <c r="F25" s="38">
        <v>88</v>
      </c>
      <c r="G25" s="2" t="s">
        <v>10</v>
      </c>
      <c r="H25" s="38">
        <v>450</v>
      </c>
      <c r="I25" s="4">
        <v>220</v>
      </c>
      <c r="J25" s="46"/>
      <c r="K25" s="46"/>
      <c r="L25" s="46"/>
      <c r="M25" s="46"/>
      <c r="O25" s="15" t="s">
        <v>37</v>
      </c>
      <c r="P25" s="37">
        <f>VLOOKUP(O25,Table2[[#All],[Name]:[Passing Marks]],7,0)</f>
        <v>500</v>
      </c>
      <c r="W25" s="35" t="s">
        <v>77</v>
      </c>
      <c r="X25" s="35" t="s">
        <v>78</v>
      </c>
      <c r="Y25" s="35" t="s">
        <v>68</v>
      </c>
      <c r="Z25" s="35" t="s">
        <v>79</v>
      </c>
      <c r="AA25" s="35">
        <v>84600</v>
      </c>
      <c r="AC25" s="50"/>
      <c r="AD25" s="50"/>
      <c r="AE25" s="50"/>
      <c r="AF25" s="50"/>
      <c r="AG25" s="50"/>
    </row>
    <row r="26" spans="1:36" ht="15" customHeight="1">
      <c r="A26" s="3">
        <v>25</v>
      </c>
      <c r="B26" s="2" t="s">
        <v>80</v>
      </c>
      <c r="C26" s="38">
        <v>12</v>
      </c>
      <c r="D26" s="38">
        <v>18</v>
      </c>
      <c r="E26" s="38">
        <v>25</v>
      </c>
      <c r="F26" s="38">
        <v>92</v>
      </c>
      <c r="G26" s="2" t="s">
        <v>21</v>
      </c>
      <c r="H26" s="38">
        <v>520</v>
      </c>
      <c r="I26" s="4">
        <v>250</v>
      </c>
      <c r="J26" s="46"/>
      <c r="K26" s="46"/>
      <c r="L26" s="46"/>
      <c r="M26" s="46"/>
      <c r="O26" s="16" t="s">
        <v>38</v>
      </c>
      <c r="P26" s="37">
        <f>VLOOKUP(O26,Table2[[#All],[Name]:[Passing Marks]],7,0)</f>
        <v>360</v>
      </c>
      <c r="W26" s="35" t="s">
        <v>81</v>
      </c>
      <c r="X26" s="35" t="s">
        <v>82</v>
      </c>
      <c r="Y26" s="35" t="s">
        <v>64</v>
      </c>
      <c r="Z26" s="35" t="s">
        <v>83</v>
      </c>
      <c r="AA26" s="35">
        <v>95800</v>
      </c>
      <c r="AC26" s="31" t="s">
        <v>48</v>
      </c>
      <c r="AD26" s="31" t="s">
        <v>49</v>
      </c>
      <c r="AE26" s="31" t="s">
        <v>50</v>
      </c>
      <c r="AF26" s="31" t="s">
        <v>51</v>
      </c>
      <c r="AG26" s="31" t="s">
        <v>52</v>
      </c>
    </row>
    <row r="27" spans="1:36">
      <c r="A27" s="3">
        <v>26</v>
      </c>
      <c r="B27" s="2" t="s">
        <v>84</v>
      </c>
      <c r="C27" s="38">
        <v>10</v>
      </c>
      <c r="D27" s="38">
        <v>16</v>
      </c>
      <c r="E27" s="38">
        <v>26</v>
      </c>
      <c r="F27" s="38">
        <v>81</v>
      </c>
      <c r="G27" s="2" t="s">
        <v>32</v>
      </c>
      <c r="H27" s="38">
        <v>390</v>
      </c>
      <c r="I27" s="4">
        <v>200</v>
      </c>
      <c r="J27" s="46"/>
      <c r="K27" s="46"/>
      <c r="L27" s="46"/>
      <c r="M27" s="46"/>
      <c r="O27" s="15" t="s">
        <v>40</v>
      </c>
      <c r="P27" s="37">
        <f>VLOOKUP(O27,Table2[[#All],[Name]:[Passing Marks]],7,0)</f>
        <v>410</v>
      </c>
      <c r="W27" s="35" t="s">
        <v>85</v>
      </c>
      <c r="X27" s="35" t="s">
        <v>86</v>
      </c>
      <c r="Y27" s="35" t="s">
        <v>87</v>
      </c>
      <c r="Z27" s="36">
        <v>44501</v>
      </c>
      <c r="AA27" s="35">
        <v>42400</v>
      </c>
      <c r="AC27" s="43" t="s">
        <v>56</v>
      </c>
      <c r="AD27" s="32" t="str">
        <f>INDEX($W$22:$AA$36,MATCH(AC27,W22:W36,0),MATCH(AD26,$W$21:$AA$21,0))</f>
        <v>Goutam Kumar</v>
      </c>
      <c r="AE27" s="32" t="str">
        <f t="shared" ref="AE27:AG27" si="0">INDEX($W$22:$AA$36,MATCH(AD27,X22:X36,0),MATCH(AE26,$W$21:$AA$21,0))</f>
        <v>Professor</v>
      </c>
      <c r="AF27" s="32">
        <f t="shared" si="0"/>
        <v>35347</v>
      </c>
      <c r="AG27" s="32">
        <f t="shared" si="0"/>
        <v>94000</v>
      </c>
    </row>
    <row r="28" spans="1:36">
      <c r="A28" s="3">
        <v>27</v>
      </c>
      <c r="B28" s="2" t="s">
        <v>88</v>
      </c>
      <c r="C28" s="38">
        <v>9</v>
      </c>
      <c r="D28" s="38">
        <v>14</v>
      </c>
      <c r="E28" s="38">
        <v>27</v>
      </c>
      <c r="F28" s="38">
        <v>73</v>
      </c>
      <c r="G28" s="2" t="s">
        <v>10</v>
      </c>
      <c r="H28" s="38">
        <v>280</v>
      </c>
      <c r="I28" s="4">
        <v>180</v>
      </c>
      <c r="J28" s="46"/>
      <c r="K28" s="46"/>
      <c r="L28" s="46"/>
      <c r="M28" s="46"/>
      <c r="O28" s="16" t="s">
        <v>41</v>
      </c>
      <c r="P28" s="37">
        <f>VLOOKUP(O28,Table2[[#All],[Name]:[Passing Marks]],7,0)</f>
        <v>430</v>
      </c>
      <c r="W28" s="35" t="s">
        <v>89</v>
      </c>
      <c r="X28" s="35" t="s">
        <v>90</v>
      </c>
      <c r="Y28" s="35" t="s">
        <v>91</v>
      </c>
      <c r="Z28" s="36">
        <v>37931</v>
      </c>
      <c r="AA28" s="35">
        <v>32400</v>
      </c>
    </row>
    <row r="29" spans="1:36">
      <c r="A29" s="3">
        <v>28</v>
      </c>
      <c r="B29" s="2" t="s">
        <v>92</v>
      </c>
      <c r="C29" s="38">
        <v>11</v>
      </c>
      <c r="D29" s="38">
        <v>17</v>
      </c>
      <c r="E29" s="38">
        <v>28</v>
      </c>
      <c r="F29" s="38">
        <v>85</v>
      </c>
      <c r="G29" s="2" t="s">
        <v>13</v>
      </c>
      <c r="H29" s="38">
        <v>430</v>
      </c>
      <c r="I29" s="4">
        <v>220</v>
      </c>
      <c r="J29" s="46"/>
      <c r="K29" s="46"/>
      <c r="L29" s="46"/>
      <c r="M29" s="46"/>
      <c r="O29" s="15" t="s">
        <v>43</v>
      </c>
      <c r="P29" s="37">
        <f>VLOOKUP(O29,Table2[[#All],[Name]:[Passing Marks]],7,0)</f>
        <v>520</v>
      </c>
      <c r="W29" s="35" t="s">
        <v>93</v>
      </c>
      <c r="X29" s="35" t="s">
        <v>94</v>
      </c>
      <c r="Y29" s="35" t="s">
        <v>74</v>
      </c>
      <c r="Z29" s="35" t="s">
        <v>95</v>
      </c>
      <c r="AA29" s="35">
        <v>86500</v>
      </c>
      <c r="AH29" s="40"/>
    </row>
    <row r="30" spans="1:36">
      <c r="A30" s="3">
        <v>29</v>
      </c>
      <c r="B30" s="2" t="s">
        <v>96</v>
      </c>
      <c r="C30" s="38">
        <v>12</v>
      </c>
      <c r="D30" s="38">
        <v>18</v>
      </c>
      <c r="E30" s="38">
        <v>29</v>
      </c>
      <c r="F30" s="38">
        <v>91</v>
      </c>
      <c r="G30" s="2" t="s">
        <v>15</v>
      </c>
      <c r="H30" s="38">
        <v>500</v>
      </c>
      <c r="I30" s="4">
        <v>250</v>
      </c>
      <c r="J30" s="46"/>
      <c r="K30" s="46"/>
      <c r="L30" s="46"/>
      <c r="M30" s="46"/>
      <c r="O30" s="16" t="s">
        <v>46</v>
      </c>
      <c r="P30" s="37">
        <f>VLOOKUP(O30,Table2[[#All],[Name]:[Passing Marks]],7,0)</f>
        <v>460</v>
      </c>
      <c r="W30" s="35" t="s">
        <v>97</v>
      </c>
      <c r="X30" s="35" t="s">
        <v>98</v>
      </c>
      <c r="Y30" s="35" t="s">
        <v>64</v>
      </c>
      <c r="Z30" s="35" t="s">
        <v>99</v>
      </c>
      <c r="AA30" s="35">
        <v>91200</v>
      </c>
    </row>
    <row r="31" spans="1:36">
      <c r="A31" s="3">
        <v>30</v>
      </c>
      <c r="B31" s="2" t="s">
        <v>100</v>
      </c>
      <c r="C31" s="38">
        <v>10</v>
      </c>
      <c r="D31" s="38">
        <v>15</v>
      </c>
      <c r="E31" s="38">
        <v>30</v>
      </c>
      <c r="F31" s="38">
        <v>78</v>
      </c>
      <c r="G31" s="2" t="s">
        <v>21</v>
      </c>
      <c r="H31" s="38">
        <v>360</v>
      </c>
      <c r="I31" s="4">
        <v>200</v>
      </c>
      <c r="J31" s="46"/>
      <c r="K31" s="46"/>
      <c r="L31" s="46"/>
      <c r="M31" s="46"/>
      <c r="O31" s="15" t="s">
        <v>47</v>
      </c>
      <c r="P31" s="37">
        <f>VLOOKUP(O31,Table2[[#All],[Name]:[Passing Marks]],7,0)</f>
        <v>540</v>
      </c>
      <c r="W31" s="35" t="s">
        <v>101</v>
      </c>
      <c r="X31" s="35" t="s">
        <v>102</v>
      </c>
      <c r="Y31" s="35" t="s">
        <v>103</v>
      </c>
      <c r="Z31" s="36">
        <v>43527</v>
      </c>
      <c r="AA31" s="35">
        <v>59400</v>
      </c>
    </row>
    <row r="32" spans="1:36">
      <c r="A32" s="3">
        <v>31</v>
      </c>
      <c r="B32" s="2" t="s">
        <v>104</v>
      </c>
      <c r="C32" s="38">
        <v>11</v>
      </c>
      <c r="D32" s="38">
        <v>17</v>
      </c>
      <c r="E32" s="38">
        <v>31</v>
      </c>
      <c r="F32" s="38">
        <v>84</v>
      </c>
      <c r="G32" s="2" t="s">
        <v>10</v>
      </c>
      <c r="H32" s="38">
        <v>440</v>
      </c>
      <c r="I32" s="4">
        <v>220</v>
      </c>
      <c r="J32" s="46"/>
      <c r="K32" s="46"/>
      <c r="L32" s="46"/>
      <c r="M32" s="46"/>
      <c r="O32" s="16" t="s">
        <v>54</v>
      </c>
      <c r="P32" s="37">
        <f>VLOOKUP(O32,Table2[[#All],[Name]:[Passing Marks]],7,0)</f>
        <v>310</v>
      </c>
      <c r="W32" s="35" t="s">
        <v>105</v>
      </c>
      <c r="X32" s="35" t="s">
        <v>106</v>
      </c>
      <c r="Y32" s="35" t="s">
        <v>87</v>
      </c>
      <c r="Z32" s="36">
        <v>40881</v>
      </c>
      <c r="AA32" s="35">
        <v>64500</v>
      </c>
    </row>
    <row r="33" spans="1:35">
      <c r="A33" s="8">
        <v>32</v>
      </c>
      <c r="B33" s="9" t="s">
        <v>107</v>
      </c>
      <c r="C33" s="10">
        <v>10</v>
      </c>
      <c r="D33" s="10">
        <v>16</v>
      </c>
      <c r="E33" s="10">
        <v>32</v>
      </c>
      <c r="F33" s="10">
        <v>89</v>
      </c>
      <c r="G33" s="9" t="s">
        <v>13</v>
      </c>
      <c r="H33" s="10">
        <v>410</v>
      </c>
      <c r="I33" s="11">
        <v>200</v>
      </c>
      <c r="J33" s="46"/>
      <c r="K33" s="46"/>
      <c r="L33" s="46"/>
      <c r="M33" s="46"/>
      <c r="W33" s="35" t="s">
        <v>108</v>
      </c>
      <c r="X33" s="35" t="s">
        <v>109</v>
      </c>
      <c r="Y33" s="35" t="s">
        <v>110</v>
      </c>
      <c r="Z33" s="35" t="s">
        <v>111</v>
      </c>
      <c r="AA33" s="35">
        <v>55400</v>
      </c>
    </row>
    <row r="34" spans="1:35">
      <c r="W34" s="35" t="s">
        <v>112</v>
      </c>
      <c r="X34" s="35" t="s">
        <v>113</v>
      </c>
      <c r="Y34" s="35" t="s">
        <v>114</v>
      </c>
      <c r="Z34" s="35" t="s">
        <v>115</v>
      </c>
      <c r="AA34" s="35">
        <v>44200</v>
      </c>
      <c r="AH34" s="40"/>
    </row>
    <row r="35" spans="1:35">
      <c r="W35" s="35" t="s">
        <v>116</v>
      </c>
      <c r="X35" s="35" t="s">
        <v>117</v>
      </c>
      <c r="Y35" s="35" t="s">
        <v>74</v>
      </c>
      <c r="Z35" s="36">
        <v>42285</v>
      </c>
      <c r="AA35" s="35">
        <v>83800</v>
      </c>
      <c r="AH35" s="40"/>
      <c r="AI35" s="41"/>
    </row>
    <row r="36" spans="1:35">
      <c r="W36" s="35" t="s">
        <v>118</v>
      </c>
      <c r="X36" s="35" t="s">
        <v>119</v>
      </c>
      <c r="Y36" s="35" t="s">
        <v>87</v>
      </c>
      <c r="Z36" s="35" t="s">
        <v>120</v>
      </c>
      <c r="AA36" s="35">
        <v>43950</v>
      </c>
      <c r="AI36" s="41"/>
    </row>
    <row r="37" spans="1:35">
      <c r="AI37" s="41"/>
    </row>
    <row r="38" spans="1:35">
      <c r="AH38" s="40"/>
      <c r="AI38" s="41"/>
    </row>
    <row r="39" spans="1:35">
      <c r="AH39" s="40"/>
      <c r="AI39" s="41"/>
    </row>
    <row r="40" spans="1:35">
      <c r="AI40" s="41"/>
    </row>
    <row r="41" spans="1:35">
      <c r="AI41" s="41"/>
    </row>
    <row r="42" spans="1:35">
      <c r="AH42" s="40"/>
    </row>
    <row r="43" spans="1:35">
      <c r="AI43" s="41"/>
    </row>
  </sheetData>
  <mergeCells count="16">
    <mergeCell ref="R2:Y3"/>
    <mergeCell ref="V4:Z5"/>
    <mergeCell ref="V6:Z6"/>
    <mergeCell ref="W13:AA14"/>
    <mergeCell ref="R14:U15"/>
    <mergeCell ref="W15:AA15"/>
    <mergeCell ref="J4:M5"/>
    <mergeCell ref="J6:M33"/>
    <mergeCell ref="O14:P15"/>
    <mergeCell ref="AC23:AG24"/>
    <mergeCell ref="AC25:AG25"/>
    <mergeCell ref="R18:R19"/>
    <mergeCell ref="S18:S19"/>
    <mergeCell ref="T18:T19"/>
    <mergeCell ref="U18:U19"/>
    <mergeCell ref="R16:U16"/>
  </mergeCells>
  <dataValidations count="4">
    <dataValidation type="list" allowBlank="1" showInputMessage="1" showErrorMessage="1" sqref="P6:P11" xr:uid="{3ABC98E3-EA24-4AFC-A36D-3A23E40018DB}">
      <formula1>$R$9:$R$11</formula1>
    </dataValidation>
    <dataValidation type="list" allowBlank="1" showInputMessage="1" showErrorMessage="1" sqref="R18" xr:uid="{4B1CADD1-1835-4EAA-BDC2-16F6504A2675}">
      <formula1>$B$2:$B$33</formula1>
    </dataValidation>
    <dataValidation type="list" allowBlank="1" showInputMessage="1" showErrorMessage="1" sqref="V8" xr:uid="{0BD6FB2B-85D4-48B6-820E-E597B734AF08}">
      <formula1>$AD$6:$AJ$6</formula1>
    </dataValidation>
    <dataValidation type="list" allowBlank="1" showInputMessage="1" showErrorMessage="1" sqref="W17 AC27" xr:uid="{42F41F51-4D09-4548-8958-96FDBC588E22}">
      <formula1>$W$22:$W$36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2026-03-19T08:42:22Z</dcterms:created>
  <dcterms:modified xsi:type="dcterms:W3CDTF">2026-03-19T15:38:53Z</dcterms:modified>
  <cp:category/>
  <cp:contentStatus/>
</cp:coreProperties>
</file>